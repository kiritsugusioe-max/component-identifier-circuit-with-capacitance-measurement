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/Desktop/"/>
    </mc:Choice>
  </mc:AlternateContent>
  <xr:revisionPtr revIDLastSave="0" documentId="8_{1E34DBA2-A191-844F-BCB0-DFF89E40FA78}" xr6:coauthVersionLast="47" xr6:coauthVersionMax="47" xr10:uidLastSave="{00000000-0000-0000-0000-000000000000}"/>
  <bookViews>
    <workbookView xWindow="3520" yWindow="2660" windowWidth="27900" windowHeight="16860" xr2:uid="{63B103A8-D464-7945-A8CB-85D015D1AC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21" i="1" l="1"/>
  <c r="AN11" i="1"/>
  <c r="AC21" i="1"/>
  <c r="AC16" i="1"/>
  <c r="AC11" i="1"/>
  <c r="AC5" i="1"/>
  <c r="R21" i="1"/>
  <c r="R16" i="1"/>
  <c r="R11" i="1"/>
  <c r="R4" i="1"/>
  <c r="G21" i="1"/>
  <c r="G16" i="1"/>
  <c r="G11" i="1"/>
  <c r="G5" i="1"/>
</calcChain>
</file>

<file path=xl/sharedStrings.xml><?xml version="1.0" encoding="utf-8"?>
<sst xmlns="http://schemas.openxmlformats.org/spreadsheetml/2006/main" count="236" uniqueCount="50">
  <si>
    <t>System-Level Measurement</t>
    <phoneticPr fontId="2"/>
  </si>
  <si>
    <t>1nF System Measurement Results</t>
    <phoneticPr fontId="2"/>
  </si>
  <si>
    <t>1st</t>
  </si>
  <si>
    <t>2nd</t>
  </si>
  <si>
    <t>3rd</t>
  </si>
  <si>
    <t>4th</t>
  </si>
  <si>
    <t>5th</t>
  </si>
  <si>
    <t>Ave</t>
  </si>
  <si>
    <t>Display_C</t>
    <phoneticPr fontId="2"/>
  </si>
  <si>
    <t>(nF)</t>
    <phoneticPr fontId="2"/>
  </si>
  <si>
    <t>Display_T</t>
    <phoneticPr fontId="2"/>
  </si>
  <si>
    <t>(us)</t>
    <phoneticPr fontId="2"/>
  </si>
  <si>
    <t>Measured_T</t>
    <phoneticPr fontId="2"/>
  </si>
  <si>
    <t>Summary</t>
    <phoneticPr fontId="2"/>
  </si>
  <si>
    <t>1nF Display Capacitane VS Measured Capacitance</t>
    <phoneticPr fontId="2"/>
  </si>
  <si>
    <t>Measured C</t>
    <phoneticPr fontId="2"/>
  </si>
  <si>
    <t>Displayed C</t>
    <phoneticPr fontId="2"/>
  </si>
  <si>
    <t>Error</t>
    <phoneticPr fontId="2"/>
  </si>
  <si>
    <t>(%)</t>
    <phoneticPr fontId="2"/>
  </si>
  <si>
    <t>1nFDisplay Period VS Measured Period</t>
    <phoneticPr fontId="2"/>
  </si>
  <si>
    <t>Measured T</t>
    <phoneticPr fontId="2"/>
  </si>
  <si>
    <t>Displayed T</t>
    <phoneticPr fontId="2"/>
  </si>
  <si>
    <t>1st Trial</t>
  </si>
  <si>
    <t>2nd Trial</t>
  </si>
  <si>
    <t>3rd Trial</t>
  </si>
  <si>
    <t xml:space="preserve">Measured Capacitance </t>
  </si>
  <si>
    <t>Measured Capacitance</t>
  </si>
  <si>
    <t>C</t>
  </si>
  <si>
    <t>(nF)</t>
  </si>
  <si>
    <t>2.2nF System Measurement Results</t>
    <phoneticPr fontId="2"/>
  </si>
  <si>
    <t>2.2 nF Display Capacitane VS Measured Capacitance</t>
    <phoneticPr fontId="2"/>
  </si>
  <si>
    <t>2.2 nF Display Period VS Measured Period</t>
    <phoneticPr fontId="2"/>
  </si>
  <si>
    <t>1st Trial</t>
    <phoneticPr fontId="2"/>
  </si>
  <si>
    <t>2nd Trial</t>
    <phoneticPr fontId="2"/>
  </si>
  <si>
    <t>3rd Trial</t>
    <phoneticPr fontId="2"/>
  </si>
  <si>
    <t xml:space="preserve">Measured Capacitance </t>
    <phoneticPr fontId="2"/>
  </si>
  <si>
    <t>Measured Capacitance</t>
    <phoneticPr fontId="2"/>
  </si>
  <si>
    <t>1st</t>
    <phoneticPr fontId="2"/>
  </si>
  <si>
    <t>2nd</t>
    <phoneticPr fontId="2"/>
  </si>
  <si>
    <t>3rd</t>
    <phoneticPr fontId="2"/>
  </si>
  <si>
    <t>4th</t>
    <phoneticPr fontId="2"/>
  </si>
  <si>
    <t>5th</t>
    <phoneticPr fontId="2"/>
  </si>
  <si>
    <t>Ave</t>
    <phoneticPr fontId="2"/>
  </si>
  <si>
    <t>C</t>
    <phoneticPr fontId="2"/>
  </si>
  <si>
    <t>4.7nF System Measurement Results</t>
    <phoneticPr fontId="2"/>
  </si>
  <si>
    <t>4.7 nF Display Capacitane VS Measured Capacitance</t>
    <phoneticPr fontId="2"/>
  </si>
  <si>
    <t>4.7 nF Display Period VS Measured Period</t>
    <phoneticPr fontId="2"/>
  </si>
  <si>
    <t>10nF System Measurement Results</t>
    <phoneticPr fontId="2"/>
  </si>
  <si>
    <t>10 nF Display Capacitane VS Measured Capacitance</t>
    <phoneticPr fontId="2"/>
  </si>
  <si>
    <t>10 nF Display Period VS Measured Period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</si>
</sst>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18"/>
      <color rgb="FF000000"/>
      <name val="游ゴシック"/>
      <family val="3"/>
      <charset val="128"/>
    </font>
    <font>
      <sz val="12"/>
      <color rgb="FF000000"/>
      <name val="游ゴシック"/>
      <family val="3"/>
      <charset val="128"/>
      <scheme val="minor"/>
    </font>
    <font>
      <sz val="18"/>
      <color rgb="FF000000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2" xfId="0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0" fillId="0" borderId="6" xfId="0" applyBorder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10" xfId="0" applyFont="1" applyBorder="1">
      <alignment vertical="center"/>
    </xf>
    <xf numFmtId="0" fontId="4" fillId="0" borderId="4" xfId="0" applyFont="1" applyBorder="1">
      <alignment vertical="center"/>
    </xf>
    <xf numFmtId="0" fontId="0" fillId="0" borderId="11" xfId="0" applyBorder="1">
      <alignment vertical="center"/>
    </xf>
    <xf numFmtId="0" fontId="4" fillId="0" borderId="12" xfId="0" applyFont="1" applyBorder="1">
      <alignment vertical="center"/>
    </xf>
    <xf numFmtId="0" fontId="4" fillId="4" borderId="5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13" xfId="0" applyFont="1" applyFill="1" applyBorder="1">
      <alignment vertical="center"/>
    </xf>
    <xf numFmtId="0" fontId="4" fillId="0" borderId="11" xfId="0" applyFont="1" applyBorder="1">
      <alignment vertical="center"/>
    </xf>
    <xf numFmtId="0" fontId="5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6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22" xfId="0" applyFont="1" applyBorder="1">
      <alignment vertical="center"/>
    </xf>
    <xf numFmtId="0" fontId="7" fillId="7" borderId="0" xfId="0" applyFont="1" applyFill="1">
      <alignment vertical="center"/>
    </xf>
    <xf numFmtId="0" fontId="0" fillId="7" borderId="0" xfId="0" applyFill="1">
      <alignment vertical="center"/>
    </xf>
    <xf numFmtId="0" fontId="0" fillId="0" borderId="14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210B-22F3-104C-8114-3EDA3C1A83C3}">
  <dimension ref="A1:AO36"/>
  <sheetViews>
    <sheetView tabSelected="1" zoomScale="42" workbookViewId="0">
      <selection activeCell="AE33" sqref="AE33"/>
    </sheetView>
  </sheetViews>
  <sheetFormatPr baseColWidth="10" defaultRowHeight="20"/>
  <sheetData>
    <row r="1" spans="1:41" ht="31">
      <c r="A1" s="1" t="s">
        <v>0</v>
      </c>
      <c r="B1" s="2"/>
      <c r="C1" s="2"/>
      <c r="D1" s="2"/>
      <c r="L1" s="1" t="s">
        <v>0</v>
      </c>
      <c r="M1" s="2"/>
      <c r="N1" s="2"/>
      <c r="O1" s="2"/>
      <c r="W1" s="1" t="s">
        <v>0</v>
      </c>
      <c r="X1" s="2"/>
      <c r="Y1" s="2"/>
      <c r="Z1" s="2"/>
      <c r="AH1" s="1" t="s">
        <v>0</v>
      </c>
      <c r="AI1" s="2"/>
      <c r="AJ1" s="2"/>
      <c r="AK1" s="2"/>
    </row>
    <row r="2" spans="1:41" ht="32" thickBot="1">
      <c r="A2" s="3" t="s">
        <v>1</v>
      </c>
      <c r="B2" s="4"/>
      <c r="C2" s="4"/>
      <c r="D2" s="4"/>
      <c r="E2" s="4"/>
      <c r="F2" s="4"/>
      <c r="G2" s="5"/>
      <c r="H2" s="5"/>
      <c r="L2" s="3" t="s">
        <v>29</v>
      </c>
      <c r="M2" s="4"/>
      <c r="N2" s="4"/>
      <c r="O2" s="4"/>
      <c r="P2" s="4"/>
      <c r="Q2" s="4"/>
      <c r="W2" s="3" t="s">
        <v>44</v>
      </c>
      <c r="X2" s="4"/>
      <c r="Y2" s="4"/>
      <c r="Z2" s="4"/>
      <c r="AA2" s="4"/>
      <c r="AB2" s="4"/>
      <c r="AH2" s="3" t="s">
        <v>47</v>
      </c>
      <c r="AI2" s="4"/>
      <c r="AJ2" s="4"/>
      <c r="AK2" s="4"/>
      <c r="AL2" s="4"/>
      <c r="AM2" s="4"/>
    </row>
    <row r="3" spans="1:41" ht="21" thickBot="1">
      <c r="A3" s="6"/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/>
      <c r="L3" s="6"/>
      <c r="M3" s="7" t="s">
        <v>2</v>
      </c>
      <c r="N3" s="8" t="s">
        <v>3</v>
      </c>
      <c r="O3" s="7" t="s">
        <v>4</v>
      </c>
      <c r="P3" s="7" t="s">
        <v>5</v>
      </c>
      <c r="Q3" s="7" t="s">
        <v>6</v>
      </c>
      <c r="R3" s="22" t="s">
        <v>7</v>
      </c>
      <c r="S3" s="9"/>
      <c r="W3" s="6"/>
      <c r="X3" s="7" t="s">
        <v>2</v>
      </c>
      <c r="Y3" s="8" t="s">
        <v>3</v>
      </c>
      <c r="Z3" s="7" t="s">
        <v>4</v>
      </c>
      <c r="AA3" s="7" t="s">
        <v>5</v>
      </c>
      <c r="AB3" s="7" t="s">
        <v>6</v>
      </c>
      <c r="AC3" s="22" t="s">
        <v>7</v>
      </c>
      <c r="AD3" s="9"/>
      <c r="AH3" s="6"/>
      <c r="AI3" s="7" t="s">
        <v>2</v>
      </c>
      <c r="AJ3" s="8" t="s">
        <v>3</v>
      </c>
      <c r="AK3" s="7" t="s">
        <v>4</v>
      </c>
      <c r="AL3" s="7" t="s">
        <v>5</v>
      </c>
      <c r="AM3" s="7" t="s">
        <v>6</v>
      </c>
      <c r="AN3" s="22" t="s">
        <v>7</v>
      </c>
      <c r="AO3" s="9"/>
    </row>
    <row r="4" spans="1:41" ht="21" thickBot="1">
      <c r="A4" s="10" t="s">
        <v>8</v>
      </c>
      <c r="B4" s="11">
        <v>1.03</v>
      </c>
      <c r="C4" s="12">
        <v>1.04</v>
      </c>
      <c r="D4" s="11">
        <v>1.04</v>
      </c>
      <c r="E4" s="11">
        <v>1.04</v>
      </c>
      <c r="F4" s="11">
        <v>1.04</v>
      </c>
      <c r="G4" s="12">
        <v>1.04</v>
      </c>
      <c r="H4" s="13" t="s">
        <v>9</v>
      </c>
      <c r="L4" s="10" t="s">
        <v>8</v>
      </c>
      <c r="M4" s="11">
        <v>2.08</v>
      </c>
      <c r="N4" s="12">
        <v>2.0499999999999998</v>
      </c>
      <c r="O4" s="11">
        <v>2.04</v>
      </c>
      <c r="P4" s="11">
        <v>2.04</v>
      </c>
      <c r="Q4" s="11">
        <v>2.04</v>
      </c>
      <c r="R4" s="39">
        <f>AVERAGE(M4:Q4)</f>
        <v>2.0499999999999998</v>
      </c>
      <c r="S4" s="13" t="s">
        <v>9</v>
      </c>
      <c r="W4" s="10" t="s">
        <v>8</v>
      </c>
      <c r="X4" s="11">
        <v>4.46</v>
      </c>
      <c r="Y4" s="12">
        <v>4.45</v>
      </c>
      <c r="Z4" s="11">
        <v>4.4400000000000004</v>
      </c>
      <c r="AA4" s="11">
        <v>4.4400000000000004</v>
      </c>
      <c r="AB4" s="11">
        <v>4.4400000000000004</v>
      </c>
      <c r="AC4" s="39">
        <v>4.45</v>
      </c>
      <c r="AD4" s="13" t="s">
        <v>9</v>
      </c>
      <c r="AH4" s="10" t="s">
        <v>8</v>
      </c>
      <c r="AI4" s="11">
        <v>11.22</v>
      </c>
      <c r="AJ4" s="12">
        <v>11.2</v>
      </c>
      <c r="AK4" s="11">
        <v>11.21</v>
      </c>
      <c r="AL4" s="11">
        <v>11.19</v>
      </c>
      <c r="AM4" s="11">
        <v>11.24</v>
      </c>
      <c r="AN4" s="39">
        <v>11.21</v>
      </c>
      <c r="AO4" s="13" t="s">
        <v>9</v>
      </c>
    </row>
    <row r="5" spans="1:41" ht="21" thickBot="1">
      <c r="A5" s="14" t="s">
        <v>10</v>
      </c>
      <c r="B5" s="15">
        <v>23.94</v>
      </c>
      <c r="C5" s="5">
        <v>23.94</v>
      </c>
      <c r="D5" s="15">
        <v>23.94</v>
      </c>
      <c r="E5" s="15">
        <v>23.94</v>
      </c>
      <c r="F5" s="15">
        <v>23.94</v>
      </c>
      <c r="G5" s="5">
        <f>AVERAGE(B5:F5)</f>
        <v>23.94</v>
      </c>
      <c r="H5" s="13" t="s">
        <v>11</v>
      </c>
      <c r="L5" s="14" t="s">
        <v>10</v>
      </c>
      <c r="M5" s="15">
        <v>47.99</v>
      </c>
      <c r="N5" s="5">
        <v>47.25</v>
      </c>
      <c r="O5" s="15">
        <v>47.13</v>
      </c>
      <c r="P5" s="15">
        <v>47.13</v>
      </c>
      <c r="Q5" s="15">
        <v>47.13</v>
      </c>
      <c r="R5" s="40">
        <v>47.33</v>
      </c>
      <c r="S5" s="13" t="s">
        <v>11</v>
      </c>
      <c r="W5" s="14" t="s">
        <v>10</v>
      </c>
      <c r="X5" s="15">
        <v>103</v>
      </c>
      <c r="Y5" s="5">
        <v>102.64</v>
      </c>
      <c r="Z5" s="15">
        <v>102.56</v>
      </c>
      <c r="AA5" s="15">
        <v>102.5</v>
      </c>
      <c r="AB5" s="15">
        <v>102.5</v>
      </c>
      <c r="AC5" s="7">
        <f>AVERAGE(X5:AB5)</f>
        <v>102.64000000000001</v>
      </c>
      <c r="AD5" s="13" t="s">
        <v>11</v>
      </c>
      <c r="AH5" s="14" t="s">
        <v>10</v>
      </c>
      <c r="AI5" s="15">
        <v>259.13</v>
      </c>
      <c r="AJ5" s="5">
        <v>258.44</v>
      </c>
      <c r="AK5" s="15">
        <v>258.69</v>
      </c>
      <c r="AL5" s="15">
        <v>258.32</v>
      </c>
      <c r="AM5" s="15">
        <v>259.56</v>
      </c>
      <c r="AN5" s="40">
        <v>258.83</v>
      </c>
      <c r="AO5" s="13" t="s">
        <v>11</v>
      </c>
    </row>
    <row r="6" spans="1:41" ht="21" thickBot="1">
      <c r="A6" s="6" t="s">
        <v>12</v>
      </c>
      <c r="B6" s="7">
        <v>23.96</v>
      </c>
      <c r="C6" s="8">
        <v>23.96</v>
      </c>
      <c r="D6" s="7">
        <v>23.82</v>
      </c>
      <c r="E6" s="7">
        <v>23.91</v>
      </c>
      <c r="F6" s="7">
        <v>23.94</v>
      </c>
      <c r="G6" s="8">
        <v>23.92</v>
      </c>
      <c r="H6" s="16" t="s">
        <v>11</v>
      </c>
      <c r="L6" s="6" t="s">
        <v>12</v>
      </c>
      <c r="M6" s="7">
        <v>47.3</v>
      </c>
      <c r="N6" s="8">
        <v>47.17</v>
      </c>
      <c r="O6" s="7">
        <v>47.07</v>
      </c>
      <c r="P6" s="7">
        <v>47.1</v>
      </c>
      <c r="Q6" s="7">
        <v>47.08</v>
      </c>
      <c r="R6" s="22">
        <v>47.14</v>
      </c>
      <c r="S6" s="16" t="s">
        <v>11</v>
      </c>
      <c r="W6" s="6" t="s">
        <v>12</v>
      </c>
      <c r="X6" s="7">
        <v>102.77</v>
      </c>
      <c r="Y6" s="8">
        <v>102.51</v>
      </c>
      <c r="Z6" s="7">
        <v>102.67</v>
      </c>
      <c r="AA6" s="7">
        <v>102.48</v>
      </c>
      <c r="AB6" s="7">
        <v>102.41</v>
      </c>
      <c r="AC6" s="11">
        <v>102.57</v>
      </c>
      <c r="AD6" s="16" t="s">
        <v>11</v>
      </c>
      <c r="AH6" s="6" t="s">
        <v>12</v>
      </c>
      <c r="AI6" s="7">
        <v>258.92</v>
      </c>
      <c r="AJ6" s="8">
        <v>258.77999999999997</v>
      </c>
      <c r="AK6" s="7">
        <v>258.35000000000002</v>
      </c>
      <c r="AL6" s="7">
        <v>258.16000000000003</v>
      </c>
      <c r="AM6" s="7">
        <v>259.42</v>
      </c>
      <c r="AN6" s="22">
        <v>258.73</v>
      </c>
      <c r="AO6" s="16" t="s">
        <v>11</v>
      </c>
    </row>
    <row r="8" spans="1:41" ht="31">
      <c r="A8" s="27" t="s">
        <v>22</v>
      </c>
      <c r="B8" s="28"/>
      <c r="C8" s="28"/>
      <c r="D8" s="28"/>
      <c r="E8" s="28"/>
      <c r="F8" s="5"/>
      <c r="G8" s="5"/>
      <c r="L8" s="17" t="s">
        <v>32</v>
      </c>
      <c r="M8" s="18"/>
      <c r="N8" s="18"/>
      <c r="O8" s="18"/>
      <c r="P8" s="18"/>
      <c r="W8" s="17" t="s">
        <v>32</v>
      </c>
      <c r="X8" s="18"/>
      <c r="Y8" s="18"/>
      <c r="Z8" s="18"/>
      <c r="AA8" s="18"/>
      <c r="AH8" s="17" t="s">
        <v>32</v>
      </c>
      <c r="AI8" s="18"/>
      <c r="AJ8" s="18"/>
      <c r="AK8" s="18"/>
      <c r="AL8" s="18"/>
      <c r="AM8" s="18"/>
    </row>
    <row r="9" spans="1:41" ht="25" thickBot="1">
      <c r="A9" s="29" t="s">
        <v>25</v>
      </c>
      <c r="B9" s="29"/>
      <c r="C9" s="29"/>
      <c r="D9" s="30"/>
      <c r="E9" s="30"/>
      <c r="F9" s="5"/>
      <c r="G9" s="5"/>
      <c r="L9" s="41" t="s">
        <v>35</v>
      </c>
      <c r="M9" s="42"/>
      <c r="N9" s="41"/>
      <c r="O9" s="42"/>
      <c r="P9" s="42"/>
      <c r="W9" s="41" t="s">
        <v>35</v>
      </c>
      <c r="X9" s="42"/>
      <c r="Y9" s="41"/>
      <c r="Z9" s="42"/>
      <c r="AA9" s="42"/>
      <c r="AH9" s="41" t="s">
        <v>35</v>
      </c>
      <c r="AI9" s="42"/>
      <c r="AJ9" s="41"/>
      <c r="AK9" s="42"/>
      <c r="AL9" s="42"/>
      <c r="AM9" s="42"/>
    </row>
    <row r="10" spans="1:41">
      <c r="A10" s="31"/>
      <c r="B10" s="32" t="s">
        <v>2</v>
      </c>
      <c r="C10" s="32" t="s">
        <v>3</v>
      </c>
      <c r="D10" s="32" t="s">
        <v>4</v>
      </c>
      <c r="E10" s="32" t="s">
        <v>5</v>
      </c>
      <c r="F10" s="32" t="s">
        <v>6</v>
      </c>
      <c r="G10" s="33" t="s">
        <v>7</v>
      </c>
      <c r="L10" s="43"/>
      <c r="M10" s="44" t="s">
        <v>37</v>
      </c>
      <c r="N10" s="44" t="s">
        <v>38</v>
      </c>
      <c r="O10" s="44" t="s">
        <v>39</v>
      </c>
      <c r="P10" s="44" t="s">
        <v>40</v>
      </c>
      <c r="Q10" s="44" t="s">
        <v>41</v>
      </c>
      <c r="R10" s="45" t="s">
        <v>42</v>
      </c>
      <c r="W10" s="43"/>
      <c r="X10" s="44" t="s">
        <v>37</v>
      </c>
      <c r="Y10" s="44" t="s">
        <v>38</v>
      </c>
      <c r="Z10" s="44" t="s">
        <v>39</v>
      </c>
      <c r="AA10" s="44" t="s">
        <v>40</v>
      </c>
      <c r="AB10" s="44" t="s">
        <v>41</v>
      </c>
      <c r="AC10" s="45" t="s">
        <v>42</v>
      </c>
      <c r="AH10" s="43"/>
      <c r="AI10" s="44" t="s">
        <v>37</v>
      </c>
      <c r="AJ10" s="44" t="s">
        <v>38</v>
      </c>
      <c r="AK10" s="44" t="s">
        <v>39</v>
      </c>
      <c r="AL10" s="44" t="s">
        <v>40</v>
      </c>
      <c r="AM10" s="44" t="s">
        <v>41</v>
      </c>
      <c r="AN10" s="45" t="s">
        <v>42</v>
      </c>
    </row>
    <row r="11" spans="1:41">
      <c r="A11" s="34" t="s">
        <v>27</v>
      </c>
      <c r="B11" s="35">
        <v>1.022</v>
      </c>
      <c r="C11" s="35">
        <v>1.02</v>
      </c>
      <c r="D11" s="35">
        <v>1.0189999999999999</v>
      </c>
      <c r="E11" s="35">
        <v>1.022</v>
      </c>
      <c r="F11" s="35">
        <v>1.022</v>
      </c>
      <c r="G11" s="36">
        <f>AVERAGE(B11:F11)</f>
        <v>1.0210000000000001</v>
      </c>
      <c r="L11" s="46" t="s">
        <v>43</v>
      </c>
      <c r="M11" s="47">
        <v>2.0720000000000001</v>
      </c>
      <c r="N11" s="47">
        <v>2.069</v>
      </c>
      <c r="O11" s="47">
        <v>2.0699999999999998</v>
      </c>
      <c r="P11" s="47">
        <v>2.0720000000000001</v>
      </c>
      <c r="Q11" s="47">
        <v>2.0750000000000002</v>
      </c>
      <c r="R11" s="48">
        <f>AVERAGE(M11:Q11)</f>
        <v>2.0716000000000001</v>
      </c>
      <c r="W11" s="46" t="s">
        <v>43</v>
      </c>
      <c r="X11" s="47">
        <v>4.5609999999999999</v>
      </c>
      <c r="Y11" s="47">
        <v>4.5739999999999998</v>
      </c>
      <c r="Z11" s="47">
        <v>4.5880000000000001</v>
      </c>
      <c r="AA11" s="47">
        <v>4.5789999999999997</v>
      </c>
      <c r="AB11" s="47">
        <v>4.577</v>
      </c>
      <c r="AC11" s="48">
        <f>AVERAGE(X11:AB11)</f>
        <v>4.5757999999999992</v>
      </c>
      <c r="AH11" s="46" t="s">
        <v>43</v>
      </c>
      <c r="AI11" s="47">
        <v>10.97</v>
      </c>
      <c r="AJ11" s="47">
        <v>11.16</v>
      </c>
      <c r="AK11" s="47">
        <v>11.1</v>
      </c>
      <c r="AL11" s="47">
        <v>10.73</v>
      </c>
      <c r="AM11" s="47">
        <v>11.04</v>
      </c>
      <c r="AN11" s="48">
        <f>AVERAGE(AI11:AM11)</f>
        <v>11.000000000000002</v>
      </c>
    </row>
    <row r="12" spans="1:41" ht="21" thickBot="1">
      <c r="A12" s="37" t="s">
        <v>28</v>
      </c>
      <c r="B12" s="38"/>
      <c r="C12" s="38"/>
      <c r="D12" s="38"/>
      <c r="E12" s="38"/>
      <c r="F12" s="38"/>
      <c r="G12" s="39"/>
      <c r="L12" s="49" t="s">
        <v>9</v>
      </c>
      <c r="M12" s="50"/>
      <c r="N12" s="50"/>
      <c r="O12" s="50"/>
      <c r="P12" s="50"/>
      <c r="Q12" s="50"/>
      <c r="R12" s="51"/>
      <c r="W12" s="49" t="s">
        <v>9</v>
      </c>
      <c r="X12" s="50"/>
      <c r="Y12" s="50"/>
      <c r="Z12" s="50"/>
      <c r="AA12" s="50"/>
      <c r="AB12" s="50"/>
      <c r="AC12" s="51"/>
      <c r="AH12" s="49" t="s">
        <v>9</v>
      </c>
      <c r="AI12" s="50"/>
      <c r="AJ12" s="50"/>
      <c r="AK12" s="50"/>
      <c r="AL12" s="50"/>
      <c r="AM12" s="50"/>
      <c r="AN12" s="51"/>
    </row>
    <row r="13" spans="1:41" ht="31">
      <c r="A13" s="27" t="s">
        <v>23</v>
      </c>
      <c r="B13" s="27"/>
      <c r="C13" s="28"/>
      <c r="D13" s="28"/>
      <c r="E13" s="28"/>
      <c r="F13" s="5"/>
      <c r="G13" s="5"/>
      <c r="I13" s="5"/>
      <c r="J13" s="5"/>
      <c r="K13" s="5"/>
      <c r="L13" s="17" t="s">
        <v>33</v>
      </c>
      <c r="M13" s="18"/>
      <c r="N13" s="18"/>
      <c r="O13" s="18"/>
      <c r="P13" s="18"/>
      <c r="T13" s="5"/>
      <c r="U13" s="5"/>
      <c r="V13" s="5"/>
      <c r="W13" s="17" t="s">
        <v>33</v>
      </c>
      <c r="X13" s="18"/>
      <c r="Y13" s="18"/>
      <c r="Z13" s="18"/>
      <c r="AA13" s="18"/>
      <c r="AH13" s="17" t="s">
        <v>33</v>
      </c>
      <c r="AI13" s="18"/>
      <c r="AJ13" s="18"/>
      <c r="AK13" s="18"/>
      <c r="AL13" s="18"/>
      <c r="AM13" s="18"/>
    </row>
    <row r="14" spans="1:41" ht="25" thickBot="1">
      <c r="A14" s="29" t="s">
        <v>26</v>
      </c>
      <c r="B14" s="29"/>
      <c r="C14" s="29"/>
      <c r="D14" s="30"/>
      <c r="E14" s="30"/>
      <c r="F14" s="5"/>
      <c r="G14" s="5"/>
      <c r="H14" s="5"/>
      <c r="L14" s="41" t="s">
        <v>36</v>
      </c>
      <c r="M14" s="42"/>
      <c r="N14" s="41"/>
      <c r="O14" s="42"/>
      <c r="P14" s="42"/>
      <c r="W14" s="41" t="s">
        <v>36</v>
      </c>
      <c r="X14" s="42"/>
      <c r="Y14" s="41"/>
      <c r="Z14" s="42"/>
      <c r="AA14" s="42"/>
      <c r="AH14" s="41" t="s">
        <v>36</v>
      </c>
      <c r="AI14" s="42"/>
      <c r="AJ14" s="41"/>
      <c r="AK14" s="42"/>
      <c r="AL14" s="42"/>
      <c r="AM14" s="42"/>
    </row>
    <row r="15" spans="1:41">
      <c r="A15" s="31"/>
      <c r="B15" s="32" t="s">
        <v>2</v>
      </c>
      <c r="C15" s="32" t="s">
        <v>3</v>
      </c>
      <c r="D15" s="32" t="s">
        <v>4</v>
      </c>
      <c r="E15" s="32" t="s">
        <v>5</v>
      </c>
      <c r="F15" s="32" t="s">
        <v>6</v>
      </c>
      <c r="G15" s="33" t="s">
        <v>7</v>
      </c>
      <c r="H15" s="5"/>
      <c r="L15" s="43"/>
      <c r="M15" s="44" t="s">
        <v>37</v>
      </c>
      <c r="N15" s="44" t="s">
        <v>38</v>
      </c>
      <c r="O15" s="44" t="s">
        <v>39</v>
      </c>
      <c r="P15" s="44" t="s">
        <v>40</v>
      </c>
      <c r="Q15" s="44" t="s">
        <v>41</v>
      </c>
      <c r="R15" s="45" t="s">
        <v>42</v>
      </c>
      <c r="W15" s="43"/>
      <c r="X15" s="44" t="s">
        <v>37</v>
      </c>
      <c r="Y15" s="44" t="s">
        <v>38</v>
      </c>
      <c r="Z15" s="44" t="s">
        <v>39</v>
      </c>
      <c r="AA15" s="44" t="s">
        <v>40</v>
      </c>
      <c r="AB15" s="44" t="s">
        <v>41</v>
      </c>
      <c r="AC15" s="45" t="s">
        <v>42</v>
      </c>
      <c r="AH15" s="43"/>
      <c r="AI15" s="44" t="s">
        <v>37</v>
      </c>
      <c r="AJ15" s="44" t="s">
        <v>38</v>
      </c>
      <c r="AK15" s="44" t="s">
        <v>39</v>
      </c>
      <c r="AL15" s="44" t="s">
        <v>40</v>
      </c>
      <c r="AM15" s="44" t="s">
        <v>41</v>
      </c>
      <c r="AN15" s="45" t="s">
        <v>42</v>
      </c>
    </row>
    <row r="16" spans="1:41">
      <c r="A16" s="34" t="s">
        <v>27</v>
      </c>
      <c r="B16" s="35">
        <v>1.0229999999999999</v>
      </c>
      <c r="C16" s="35">
        <v>1.026</v>
      </c>
      <c r="D16" s="35">
        <v>1.0249999999999999</v>
      </c>
      <c r="E16" s="35">
        <v>1.0249999999999999</v>
      </c>
      <c r="F16" s="35">
        <v>1.028</v>
      </c>
      <c r="G16" s="36">
        <f>AVERAGE(B16:F16)</f>
        <v>1.0254000000000001</v>
      </c>
      <c r="H16" s="5"/>
      <c r="L16" s="46" t="s">
        <v>43</v>
      </c>
      <c r="M16" s="47">
        <v>2.0640000000000001</v>
      </c>
      <c r="N16" s="47">
        <v>2.0680000000000001</v>
      </c>
      <c r="O16" s="47">
        <v>2.0720000000000001</v>
      </c>
      <c r="P16" s="47">
        <v>2.0779999999999998</v>
      </c>
      <c r="Q16" s="47">
        <v>2.0739999999999998</v>
      </c>
      <c r="R16" s="48">
        <f>AVERAGE(M16:Q16)</f>
        <v>2.0712000000000002</v>
      </c>
      <c r="W16" s="46" t="s">
        <v>43</v>
      </c>
      <c r="X16" s="47">
        <v>4.601</v>
      </c>
      <c r="Y16" s="47">
        <v>4.6390000000000002</v>
      </c>
      <c r="Z16" s="47">
        <v>4.6529999999999996</v>
      </c>
      <c r="AA16" s="47">
        <v>4.657</v>
      </c>
      <c r="AB16" s="47">
        <v>4.6529999999999996</v>
      </c>
      <c r="AC16" s="48">
        <f>AVERAGE(X16:AB16)</f>
        <v>4.6406000000000001</v>
      </c>
      <c r="AH16" s="46" t="s">
        <v>43</v>
      </c>
      <c r="AI16" s="47">
        <v>10.89</v>
      </c>
      <c r="AJ16" s="47">
        <v>10.9</v>
      </c>
      <c r="AK16" s="47">
        <v>10.81</v>
      </c>
      <c r="AL16" s="47">
        <v>10.8</v>
      </c>
      <c r="AM16" s="47">
        <v>10.76</v>
      </c>
      <c r="AN16" s="48">
        <v>10.83</v>
      </c>
    </row>
    <row r="17" spans="1:40" ht="21" thickBot="1">
      <c r="A17" s="37" t="s">
        <v>28</v>
      </c>
      <c r="B17" s="38"/>
      <c r="C17" s="38"/>
      <c r="D17" s="38"/>
      <c r="E17" s="38"/>
      <c r="F17" s="38"/>
      <c r="G17" s="39"/>
      <c r="H17" s="5"/>
      <c r="L17" s="49" t="s">
        <v>9</v>
      </c>
      <c r="M17" s="50"/>
      <c r="N17" s="50"/>
      <c r="O17" s="50"/>
      <c r="P17" s="50"/>
      <c r="Q17" s="50"/>
      <c r="R17" s="51"/>
      <c r="W17" s="49" t="s">
        <v>9</v>
      </c>
      <c r="X17" s="50"/>
      <c r="Y17" s="50"/>
      <c r="Z17" s="50"/>
      <c r="AA17" s="50"/>
      <c r="AB17" s="50"/>
      <c r="AC17" s="51"/>
      <c r="AH17" s="49" t="s">
        <v>9</v>
      </c>
      <c r="AI17" s="50"/>
      <c r="AJ17" s="50"/>
      <c r="AK17" s="50"/>
      <c r="AL17" s="50"/>
      <c r="AM17" s="50"/>
      <c r="AN17" s="51"/>
    </row>
    <row r="18" spans="1:40" ht="31">
      <c r="A18" s="27" t="s">
        <v>24</v>
      </c>
      <c r="B18" s="27"/>
      <c r="C18" s="28"/>
      <c r="D18" s="28"/>
      <c r="E18" s="28"/>
      <c r="F18" s="5"/>
      <c r="G18" s="5"/>
      <c r="H18" s="5"/>
      <c r="L18" s="27" t="s">
        <v>34</v>
      </c>
      <c r="M18" s="28"/>
      <c r="N18" s="28"/>
      <c r="O18" s="28"/>
      <c r="P18" s="28"/>
      <c r="W18" s="27" t="s">
        <v>34</v>
      </c>
      <c r="X18" s="28"/>
      <c r="Y18" s="28"/>
      <c r="Z18" s="28"/>
      <c r="AA18" s="28"/>
      <c r="AH18" s="27" t="s">
        <v>34</v>
      </c>
      <c r="AI18" s="28"/>
      <c r="AJ18" s="28"/>
      <c r="AK18" s="28"/>
      <c r="AL18" s="28"/>
      <c r="AM18" s="18"/>
    </row>
    <row r="19" spans="1:40" ht="25" thickBot="1">
      <c r="A19" s="29" t="s">
        <v>26</v>
      </c>
      <c r="B19" s="29"/>
      <c r="C19" s="29"/>
      <c r="D19" s="30"/>
      <c r="E19" s="30"/>
      <c r="F19" s="5"/>
      <c r="G19" s="5"/>
      <c r="H19" s="5"/>
      <c r="L19" s="41" t="s">
        <v>36</v>
      </c>
      <c r="M19" s="42"/>
      <c r="N19" s="41"/>
      <c r="O19" s="42"/>
      <c r="P19" s="42"/>
      <c r="W19" s="41" t="s">
        <v>36</v>
      </c>
      <c r="X19" s="42"/>
      <c r="Y19" s="41"/>
      <c r="Z19" s="42"/>
      <c r="AA19" s="42"/>
      <c r="AH19" s="41" t="s">
        <v>36</v>
      </c>
      <c r="AI19" s="42"/>
      <c r="AJ19" s="41"/>
      <c r="AK19" s="42"/>
      <c r="AL19" s="42"/>
      <c r="AM19" s="42"/>
    </row>
    <row r="20" spans="1:40">
      <c r="A20" s="31"/>
      <c r="B20" s="32" t="s">
        <v>2</v>
      </c>
      <c r="C20" s="32" t="s">
        <v>3</v>
      </c>
      <c r="D20" s="32" t="s">
        <v>4</v>
      </c>
      <c r="E20" s="32" t="s">
        <v>5</v>
      </c>
      <c r="F20" s="32" t="s">
        <v>6</v>
      </c>
      <c r="G20" s="33" t="s">
        <v>7</v>
      </c>
      <c r="L20" s="43"/>
      <c r="M20" s="44" t="s">
        <v>37</v>
      </c>
      <c r="N20" s="44" t="s">
        <v>38</v>
      </c>
      <c r="O20" s="44" t="s">
        <v>39</v>
      </c>
      <c r="P20" s="44" t="s">
        <v>40</v>
      </c>
      <c r="Q20" s="44" t="s">
        <v>41</v>
      </c>
      <c r="R20" s="45" t="s">
        <v>42</v>
      </c>
      <c r="W20" s="43"/>
      <c r="X20" s="44" t="s">
        <v>37</v>
      </c>
      <c r="Y20" s="44" t="s">
        <v>38</v>
      </c>
      <c r="Z20" s="44" t="s">
        <v>39</v>
      </c>
      <c r="AA20" s="44" t="s">
        <v>40</v>
      </c>
      <c r="AB20" s="44" t="s">
        <v>41</v>
      </c>
      <c r="AC20" s="45" t="s">
        <v>42</v>
      </c>
      <c r="AH20" s="43"/>
      <c r="AI20" s="44" t="s">
        <v>37</v>
      </c>
      <c r="AJ20" s="44" t="s">
        <v>38</v>
      </c>
      <c r="AK20" s="44" t="s">
        <v>39</v>
      </c>
      <c r="AL20" s="44" t="s">
        <v>40</v>
      </c>
      <c r="AM20" s="44" t="s">
        <v>41</v>
      </c>
      <c r="AN20" s="45" t="s">
        <v>42</v>
      </c>
    </row>
    <row r="21" spans="1:40">
      <c r="A21" s="34" t="s">
        <v>27</v>
      </c>
      <c r="B21" s="35">
        <v>1.0269999999999999</v>
      </c>
      <c r="C21" s="35">
        <v>1.0269999999999999</v>
      </c>
      <c r="D21" s="35">
        <v>1.026</v>
      </c>
      <c r="E21" s="35">
        <v>1.0249999999999999</v>
      </c>
      <c r="F21" s="35">
        <v>1.0249999999999999</v>
      </c>
      <c r="G21" s="36">
        <f>AVERAGE(B21:F21)</f>
        <v>1.0260000000000002</v>
      </c>
      <c r="L21" s="46" t="s">
        <v>43</v>
      </c>
      <c r="M21" s="47">
        <v>2.077</v>
      </c>
      <c r="N21" s="47">
        <v>2.0779999999999998</v>
      </c>
      <c r="O21" s="47">
        <v>2.0760000000000001</v>
      </c>
      <c r="P21" s="47">
        <v>2.0739999999999998</v>
      </c>
      <c r="Q21" s="47">
        <v>2.0739999999999998</v>
      </c>
      <c r="R21" s="48">
        <f>AVERAGE(M21:Q21)</f>
        <v>2.0758000000000001</v>
      </c>
      <c r="W21" s="46" t="s">
        <v>43</v>
      </c>
      <c r="X21" s="47">
        <v>4.5919999999999996</v>
      </c>
      <c r="Y21" s="47">
        <v>4.5940000000000003</v>
      </c>
      <c r="Z21" s="47">
        <v>4.6070000000000002</v>
      </c>
      <c r="AA21" s="47">
        <v>4.6239999999999997</v>
      </c>
      <c r="AB21" s="47">
        <v>4.6120000000000001</v>
      </c>
      <c r="AC21" s="48">
        <f>AVERAGE(X21:AB21)</f>
        <v>4.6057999999999995</v>
      </c>
      <c r="AH21" s="46" t="s">
        <v>43</v>
      </c>
      <c r="AI21" s="47">
        <v>10.85</v>
      </c>
      <c r="AJ21" s="47">
        <v>10.79</v>
      </c>
      <c r="AK21" s="47">
        <v>10.98</v>
      </c>
      <c r="AL21" s="47">
        <v>10.73</v>
      </c>
      <c r="AM21" s="47">
        <v>10.65</v>
      </c>
      <c r="AN21" s="48">
        <f>AVERAGE(AI21:AM21)</f>
        <v>10.8</v>
      </c>
    </row>
    <row r="22" spans="1:40" ht="21" thickBot="1">
      <c r="A22" s="37" t="s">
        <v>28</v>
      </c>
      <c r="B22" s="38"/>
      <c r="C22" s="38"/>
      <c r="D22" s="38"/>
      <c r="E22" s="38"/>
      <c r="F22" s="38"/>
      <c r="G22" s="39"/>
      <c r="L22" s="49" t="s">
        <v>9</v>
      </c>
      <c r="M22" s="50"/>
      <c r="N22" s="50"/>
      <c r="O22" s="50"/>
      <c r="P22" s="50"/>
      <c r="Q22" s="50"/>
      <c r="R22" s="51"/>
      <c r="W22" s="49" t="s">
        <v>9</v>
      </c>
      <c r="X22" s="50"/>
      <c r="Y22" s="50"/>
      <c r="Z22" s="50"/>
      <c r="AA22" s="50"/>
      <c r="AB22" s="50"/>
      <c r="AC22" s="51"/>
      <c r="AH22" s="49" t="s">
        <v>9</v>
      </c>
      <c r="AI22" s="50"/>
      <c r="AJ22" s="50"/>
      <c r="AK22" s="50"/>
      <c r="AL22" s="50"/>
      <c r="AM22" s="50"/>
      <c r="AN22" s="51"/>
    </row>
    <row r="28" spans="1:40" ht="31">
      <c r="A28" s="17" t="s">
        <v>13</v>
      </c>
      <c r="B28" s="18"/>
      <c r="L28" s="17" t="s">
        <v>13</v>
      </c>
      <c r="M28" s="18"/>
      <c r="W28" s="17" t="s">
        <v>13</v>
      </c>
      <c r="X28" s="18"/>
      <c r="AH28" s="17" t="s">
        <v>13</v>
      </c>
      <c r="AI28" s="18"/>
    </row>
    <row r="29" spans="1:40" ht="32" thickBot="1">
      <c r="A29" s="3" t="s">
        <v>14</v>
      </c>
      <c r="B29" s="4"/>
      <c r="C29" s="18"/>
      <c r="D29" s="18"/>
      <c r="E29" s="4"/>
      <c r="F29" s="4"/>
      <c r="L29" s="3" t="s">
        <v>30</v>
      </c>
      <c r="M29" s="4"/>
      <c r="N29" s="18"/>
      <c r="O29" s="18"/>
      <c r="P29" s="18"/>
      <c r="Q29" s="18"/>
      <c r="W29" s="3" t="s">
        <v>45</v>
      </c>
      <c r="X29" s="4"/>
      <c r="Y29" s="18"/>
      <c r="Z29" s="18"/>
      <c r="AA29" s="18"/>
      <c r="AB29" s="18"/>
      <c r="AH29" s="3" t="s">
        <v>48</v>
      </c>
      <c r="AI29" s="4"/>
      <c r="AJ29" s="18"/>
      <c r="AK29" s="18"/>
      <c r="AL29" s="18"/>
      <c r="AM29" s="18"/>
    </row>
    <row r="30" spans="1:40" ht="21" thickBot="1">
      <c r="A30" s="19" t="s">
        <v>15</v>
      </c>
      <c r="B30" s="20">
        <v>1.02</v>
      </c>
      <c r="C30" s="21" t="s">
        <v>9</v>
      </c>
      <c r="E30" s="5"/>
      <c r="F30" s="5"/>
      <c r="L30" s="19" t="s">
        <v>15</v>
      </c>
      <c r="M30" s="20">
        <v>2.0699999999999998</v>
      </c>
      <c r="N30" s="21" t="s">
        <v>9</v>
      </c>
      <c r="W30" s="19" t="s">
        <v>15</v>
      </c>
      <c r="X30" s="20">
        <v>4.6100000000000003</v>
      </c>
      <c r="Y30" s="21" t="s">
        <v>9</v>
      </c>
      <c r="AH30" s="19" t="s">
        <v>15</v>
      </c>
      <c r="AI30" s="20">
        <v>10.88</v>
      </c>
      <c r="AJ30" s="21" t="s">
        <v>9</v>
      </c>
    </row>
    <row r="31" spans="1:40" ht="21" thickBot="1">
      <c r="A31" s="6" t="s">
        <v>16</v>
      </c>
      <c r="B31" s="7">
        <v>1.04</v>
      </c>
      <c r="C31" s="22" t="s">
        <v>9</v>
      </c>
      <c r="D31" s="5"/>
      <c r="E31" s="5"/>
      <c r="F31" s="5"/>
      <c r="L31" s="6" t="s">
        <v>16</v>
      </c>
      <c r="M31" s="7">
        <v>2.0499999999999998</v>
      </c>
      <c r="N31" s="22" t="s">
        <v>9</v>
      </c>
      <c r="O31" s="5"/>
      <c r="W31" s="6" t="s">
        <v>16</v>
      </c>
      <c r="X31" s="7">
        <v>4.45</v>
      </c>
      <c r="Y31" s="22" t="s">
        <v>9</v>
      </c>
      <c r="Z31" s="5"/>
      <c r="AH31" s="6" t="s">
        <v>16</v>
      </c>
      <c r="AI31" s="7">
        <v>11.21</v>
      </c>
      <c r="AJ31" s="22" t="s">
        <v>9</v>
      </c>
      <c r="AK31" s="5"/>
    </row>
    <row r="32" spans="1:40" ht="21" thickBot="1">
      <c r="A32" s="23" t="s">
        <v>17</v>
      </c>
      <c r="B32" s="24">
        <v>1.96</v>
      </c>
      <c r="C32" s="25" t="s">
        <v>18</v>
      </c>
      <c r="D32" s="5"/>
      <c r="E32" s="5"/>
      <c r="F32" s="5"/>
      <c r="L32" s="23" t="s">
        <v>17</v>
      </c>
      <c r="M32" s="24">
        <v>0.97</v>
      </c>
      <c r="N32" s="25" t="s">
        <v>18</v>
      </c>
      <c r="O32" s="5"/>
      <c r="W32" s="23" t="s">
        <v>17</v>
      </c>
      <c r="X32" s="24">
        <v>3.5</v>
      </c>
      <c r="Y32" s="25" t="s">
        <v>18</v>
      </c>
      <c r="Z32" s="5"/>
      <c r="AH32" s="23" t="s">
        <v>17</v>
      </c>
      <c r="AI32" s="24">
        <v>3</v>
      </c>
      <c r="AJ32" s="25" t="s">
        <v>18</v>
      </c>
      <c r="AK32" s="5"/>
    </row>
    <row r="33" spans="1:39" ht="32" thickBot="1">
      <c r="A33" s="3" t="s">
        <v>19</v>
      </c>
      <c r="B33" s="4"/>
      <c r="C33" s="18"/>
      <c r="D33" s="18"/>
      <c r="E33" s="4"/>
      <c r="F33" s="4"/>
      <c r="L33" s="3" t="s">
        <v>31</v>
      </c>
      <c r="M33" s="4"/>
      <c r="N33" s="18"/>
      <c r="O33" s="18"/>
      <c r="P33" s="18"/>
      <c r="Q33" s="18"/>
      <c r="W33" s="3" t="s">
        <v>46</v>
      </c>
      <c r="X33" s="4"/>
      <c r="Y33" s="18"/>
      <c r="Z33" s="18"/>
      <c r="AA33" s="18"/>
      <c r="AB33" s="18"/>
      <c r="AH33" s="3" t="s">
        <v>49</v>
      </c>
      <c r="AI33" s="4"/>
      <c r="AJ33" s="18"/>
      <c r="AK33" s="18"/>
      <c r="AL33" s="18"/>
      <c r="AM33" s="18"/>
    </row>
    <row r="34" spans="1:39" ht="21" thickBot="1">
      <c r="A34" s="19" t="s">
        <v>20</v>
      </c>
      <c r="B34" s="20">
        <v>23.92</v>
      </c>
      <c r="C34" s="26" t="s">
        <v>11</v>
      </c>
      <c r="D34" s="5"/>
      <c r="E34" s="5"/>
      <c r="F34" s="5"/>
      <c r="L34" s="19" t="s">
        <v>20</v>
      </c>
      <c r="M34" s="20">
        <v>47.14</v>
      </c>
      <c r="N34" s="26" t="s">
        <v>11</v>
      </c>
      <c r="O34" s="5"/>
      <c r="W34" s="19" t="s">
        <v>20</v>
      </c>
      <c r="X34" s="20">
        <v>102.64</v>
      </c>
      <c r="Y34" s="26" t="s">
        <v>11</v>
      </c>
      <c r="Z34" s="5"/>
      <c r="AH34" s="19" t="s">
        <v>20</v>
      </c>
      <c r="AI34" s="20">
        <v>258.73</v>
      </c>
      <c r="AJ34" s="26" t="s">
        <v>11</v>
      </c>
      <c r="AK34" s="5"/>
    </row>
    <row r="35" spans="1:39" ht="21" thickBot="1">
      <c r="A35" s="6" t="s">
        <v>21</v>
      </c>
      <c r="B35" s="7">
        <v>23.94</v>
      </c>
      <c r="C35" s="22" t="s">
        <v>11</v>
      </c>
      <c r="D35" s="5"/>
      <c r="E35" s="5"/>
      <c r="F35" s="5"/>
      <c r="L35" s="6" t="s">
        <v>21</v>
      </c>
      <c r="M35" s="7">
        <v>47.33</v>
      </c>
      <c r="N35" s="22" t="s">
        <v>11</v>
      </c>
      <c r="O35" s="5"/>
      <c r="W35" s="6" t="s">
        <v>21</v>
      </c>
      <c r="X35" s="7">
        <v>102.57</v>
      </c>
      <c r="Y35" s="22" t="s">
        <v>11</v>
      </c>
      <c r="Z35" s="5"/>
      <c r="AH35" s="6" t="s">
        <v>21</v>
      </c>
      <c r="AI35" s="7">
        <v>258.83</v>
      </c>
      <c r="AJ35" s="22" t="s">
        <v>11</v>
      </c>
      <c r="AK35" s="5"/>
    </row>
    <row r="36" spans="1:39" ht="21" thickBot="1">
      <c r="A36" s="23" t="s">
        <v>17</v>
      </c>
      <c r="B36" s="24">
        <v>0.08</v>
      </c>
      <c r="C36" s="25" t="s">
        <v>18</v>
      </c>
      <c r="L36" s="23" t="s">
        <v>17</v>
      </c>
      <c r="M36" s="24">
        <v>0.4</v>
      </c>
      <c r="N36" s="25" t="s">
        <v>18</v>
      </c>
      <c r="W36" s="23" t="s">
        <v>17</v>
      </c>
      <c r="X36" s="24">
        <v>7.0000000000000007E-2</v>
      </c>
      <c r="Y36" s="25" t="s">
        <v>18</v>
      </c>
      <c r="AH36" s="23" t="s">
        <v>17</v>
      </c>
      <c r="AI36" s="24">
        <v>0.04</v>
      </c>
      <c r="AJ36" s="25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Sohshi Iwamoto</dc:creator>
  <cp:lastModifiedBy>Sohshi Iwamoto</cp:lastModifiedBy>
  <dcterms:created xsi:type="dcterms:W3CDTF">2026-06-07T09:03:17Z</dcterms:created>
  <dcterms:modified xsi:type="dcterms:W3CDTF">2026-06-07T09:17:08Z</dcterms:modified>
</cp:coreProperties>
</file>